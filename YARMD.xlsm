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ThisWorkbook" defaultThemeVersion="124226"/>
  <xr:revisionPtr revIDLastSave="0" documentId="13_ncr:1_{FB4DB2D9-A73E-4AD9-9F66-1AC968B9EF3C}" xr6:coauthVersionLast="47" xr6:coauthVersionMax="47" xr10:uidLastSave="{00000000-0000-0000-0000-000000000000}"/>
  <bookViews>
    <workbookView xWindow="1560" yWindow="1020" windowWidth="23220" windowHeight="20130" xr2:uid="{00000000-000D-0000-FFFF-FFFF00000000}"/>
  </bookViews>
  <sheets>
    <sheet name="example" sheetId="1" r:id="rId1"/>
  </sheets>
  <definedNames>
    <definedName name="constraints">example!$C$23:$S$23</definedName>
    <definedName name="constraintsMax">example!$C$25:$S$25</definedName>
    <definedName name="constraintsMin">example!$C$24:$S$24</definedName>
    <definedName name="constraintsNames">example!$C$22:$S$22</definedName>
    <definedName name="flatList">example!$U$4:$W$55</definedName>
    <definedName name="flatListQ">example!$V$4:$V$55</definedName>
    <definedName name="flatListQMax">example!$W$4:$W$55</definedName>
    <definedName name="products">example!$B$4:$B$16</definedName>
    <definedName name="quantities">example!$E$4:$E$16</definedName>
    <definedName name="quantitiesMax">example!$D$4:$D$16</definedName>
    <definedName name="quantitiesMin">example!$C$4:$C$16</definedName>
    <definedName name="solver_adj" localSheetId="0" hidden="1">example!$E$4:$E$16</definedName>
    <definedName name="solver_cvg" localSheetId="0" hidden="1">0.000001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1000</definedName>
    <definedName name="solver_lhs1" localSheetId="0" hidden="1">example!$V$4:$V$55</definedName>
    <definedName name="solver_lhs2" localSheetId="0" hidden="1">example!$E$4:$E$16</definedName>
    <definedName name="solver_lhs3" localSheetId="0" hidden="1">example!#REF!</definedName>
    <definedName name="solver_lhs4" localSheetId="0" hidden="1">example!#REF!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example!$G$17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hs1" localSheetId="0" hidden="1">flatListQMax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30</definedName>
    <definedName name="solver_tim" localSheetId="0" hidden="1">30</definedName>
    <definedName name="solver_tol" localSheetId="0" hidden="1">0.00000001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4" i="1" l="1"/>
  <c r="V13" i="1"/>
  <c r="V12" i="1"/>
  <c r="V11" i="1"/>
  <c r="V10" i="1"/>
  <c r="V9" i="1"/>
  <c r="V8" i="1"/>
  <c r="V7" i="1"/>
  <c r="V6" i="1"/>
  <c r="V5" i="1"/>
  <c r="V4" i="1"/>
  <c r="J17" i="1"/>
  <c r="K17" i="1"/>
  <c r="F17" i="1"/>
  <c r="L17" i="1"/>
  <c r="I17" i="1"/>
  <c r="S17" i="1"/>
  <c r="E19" i="1"/>
  <c r="S19" i="1"/>
  <c r="G19" i="1"/>
  <c r="H19" i="1"/>
  <c r="I19" i="1"/>
  <c r="J19" i="1"/>
  <c r="K19" i="1"/>
  <c r="L19" i="1"/>
  <c r="M19" i="1"/>
  <c r="N19" i="1"/>
  <c r="O19" i="1"/>
  <c r="P19" i="1"/>
  <c r="Q19" i="1"/>
  <c r="R19" i="1"/>
  <c r="F19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F18" i="1"/>
  <c r="R17" i="1"/>
  <c r="Q17" i="1"/>
  <c r="P17" i="1"/>
  <c r="O17" i="1"/>
  <c r="N17" i="1"/>
  <c r="M17" i="1"/>
  <c r="H17" i="1"/>
  <c r="G17" i="1"/>
  <c r="E18" i="1"/>
  <c r="E17" i="1"/>
  <c r="L23" i="1" l="1"/>
  <c r="J23" i="1"/>
  <c r="F23" i="1"/>
  <c r="I23" i="1"/>
  <c r="E23" i="1"/>
  <c r="D23" i="1"/>
  <c r="K23" i="1"/>
  <c r="G23" i="1"/>
  <c r="C23" i="1"/>
  <c r="H23" i="1"/>
</calcChain>
</file>

<file path=xl/sharedStrings.xml><?xml version="1.0" encoding="utf-8"?>
<sst xmlns="http://schemas.openxmlformats.org/spreadsheetml/2006/main" count="66" uniqueCount="64">
  <si>
    <t>product</t>
  </si>
  <si>
    <t>min</t>
  </si>
  <si>
    <t>max</t>
  </si>
  <si>
    <t>tons</t>
  </si>
  <si>
    <t>LOI</t>
  </si>
  <si>
    <t>clinker</t>
  </si>
  <si>
    <t>SiO2</t>
  </si>
  <si>
    <t>Al2O3</t>
  </si>
  <si>
    <t>Fe2O3</t>
  </si>
  <si>
    <t>CaO</t>
  </si>
  <si>
    <t>MgO</t>
  </si>
  <si>
    <t>CO2</t>
  </si>
  <si>
    <t>Cl</t>
  </si>
  <si>
    <t>SO3</t>
  </si>
  <si>
    <t>Na2O</t>
  </si>
  <si>
    <t>K2O</t>
  </si>
  <si>
    <t>GJ</t>
  </si>
  <si>
    <t>cost</t>
  </si>
  <si>
    <t>Limestone I</t>
  </si>
  <si>
    <t>Limestone II</t>
  </si>
  <si>
    <t>Limestone III</t>
  </si>
  <si>
    <t>Clay</t>
  </si>
  <si>
    <t>Shale</t>
  </si>
  <si>
    <t>Fly ash</t>
  </si>
  <si>
    <t>Sand</t>
  </si>
  <si>
    <t>Bauxite</t>
  </si>
  <si>
    <t>Iron ore</t>
  </si>
  <si>
    <t>Iron source</t>
  </si>
  <si>
    <t>Coal</t>
  </si>
  <si>
    <t>Plastics</t>
  </si>
  <si>
    <t>Coke</t>
  </si>
  <si>
    <t>LSF</t>
  </si>
  <si>
    <t>c3s</t>
  </si>
  <si>
    <t>c3a</t>
  </si>
  <si>
    <t>liq</t>
  </si>
  <si>
    <t>sulf</t>
  </si>
  <si>
    <t>GJ/tcl</t>
  </si>
  <si>
    <t>cost/tcl</t>
  </si>
  <si>
    <t>tcl</t>
  </si>
  <si>
    <t>quantity</t>
  </si>
  <si>
    <t>value</t>
  </si>
  <si>
    <t>Q</t>
  </si>
  <si>
    <t>Qmax</t>
  </si>
  <si>
    <t>max Plastics</t>
  </si>
  <si>
    <t>constraints</t>
  </si>
  <si>
    <t>min tcl</t>
  </si>
  <si>
    <t>max tcl</t>
  </si>
  <si>
    <t>min GJ/tcl</t>
  </si>
  <si>
    <t>max GJ/tcl</t>
  </si>
  <si>
    <t>min LSF</t>
  </si>
  <si>
    <t>max LSF</t>
  </si>
  <si>
    <t>min c3a</t>
  </si>
  <si>
    <t>max c3a</t>
  </si>
  <si>
    <t>min liq</t>
  </si>
  <si>
    <t>max liq</t>
  </si>
  <si>
    <t>Constraints</t>
  </si>
  <si>
    <t>Bounds</t>
  </si>
  <si>
    <t>SO3/tcl</t>
  </si>
  <si>
    <t>Balances</t>
  </si>
  <si>
    <t>Constraints summary</t>
  </si>
  <si>
    <t>Totals</t>
  </si>
  <si>
    <t>Totals Raw Materials</t>
  </si>
  <si>
    <t>Totals Fuels</t>
  </si>
  <si>
    <t>GJ/t fuel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</si>
</sst>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#,##0.0000"/>
    <numFmt numFmtId="166" formatCode="#,##0.00000"/>
    <numFmt numFmtId="167" formatCode="#,##0.000"/>
    <numFmt numFmtId="168" formatCode="0.000000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color indexed="56"/>
      <name val="Times New Roman"/>
      <family val="1"/>
    </font>
    <font>
      <sz val="10"/>
      <color indexed="56"/>
      <name val="Times New Roman"/>
      <family val="1"/>
    </font>
    <font>
      <u/>
      <sz val="10"/>
      <color indexed="56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sz val="10"/>
      <color indexed="12"/>
      <name val="Times New Roman"/>
      <family val="1"/>
    </font>
    <font>
      <sz val="10"/>
      <color indexed="57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</fills>
  <borders count="24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64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thin">
        <color indexed="64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3">
    <xf numFmtId="0" fontId="0" fillId="0" borderId="0" xfId="0"/>
    <xf numFmtId="3" fontId="4" fillId="0" borderId="0" xfId="0" applyNumberFormat="1" applyFont="1" applyFill="1" applyBorder="1" applyAlignment="1">
      <alignment horizontal="center"/>
    </xf>
    <xf numFmtId="4" fontId="4" fillId="0" borderId="0" xfId="0" applyNumberFormat="1" applyFont="1" applyFill="1" applyBorder="1" applyAlignment="1">
      <alignment horizontal="right"/>
    </xf>
    <xf numFmtId="3" fontId="4" fillId="0" borderId="1" xfId="0" applyNumberFormat="1" applyFont="1" applyFill="1" applyBorder="1" applyAlignment="1">
      <alignment horizontal="right"/>
    </xf>
    <xf numFmtId="165" fontId="4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 applyAlignment="1"/>
    <xf numFmtId="4" fontId="4" fillId="0" borderId="1" xfId="0" applyNumberFormat="1" applyFont="1" applyFill="1" applyBorder="1" applyAlignment="1">
      <alignment horizontal="right"/>
    </xf>
    <xf numFmtId="3" fontId="5" fillId="0" borderId="0" xfId="0" applyNumberFormat="1" applyFont="1" applyFill="1" applyBorder="1" applyAlignment="1"/>
    <xf numFmtId="4" fontId="4" fillId="0" borderId="0" xfId="0" applyNumberFormat="1" applyFont="1" applyFill="1" applyBorder="1" applyAlignment="1">
      <alignment horizontal="center"/>
    </xf>
    <xf numFmtId="3" fontId="4" fillId="0" borderId="6" xfId="0" applyNumberFormat="1" applyFont="1" applyFill="1" applyBorder="1" applyAlignment="1">
      <alignment horizontal="right"/>
    </xf>
    <xf numFmtId="2" fontId="4" fillId="0" borderId="6" xfId="1" applyNumberFormat="1" applyFont="1" applyFill="1" applyBorder="1" applyAlignment="1">
      <alignment horizontal="right"/>
    </xf>
    <xf numFmtId="3" fontId="3" fillId="2" borderId="8" xfId="0" applyNumberFormat="1" applyFont="1" applyFill="1" applyBorder="1" applyAlignment="1"/>
    <xf numFmtId="3" fontId="3" fillId="2" borderId="2" xfId="0" applyNumberFormat="1" applyFont="1" applyFill="1" applyBorder="1" applyAlignment="1"/>
    <xf numFmtId="3" fontId="3" fillId="2" borderId="3" xfId="0" applyNumberFormat="1" applyFont="1" applyFill="1" applyBorder="1" applyAlignment="1"/>
    <xf numFmtId="3" fontId="4" fillId="3" borderId="6" xfId="0" applyNumberFormat="1" applyFont="1" applyFill="1" applyBorder="1" applyAlignment="1">
      <alignment horizontal="center"/>
    </xf>
    <xf numFmtId="3" fontId="4" fillId="3" borderId="7" xfId="0" applyNumberFormat="1" applyFont="1" applyFill="1" applyBorder="1" applyAlignment="1">
      <alignment horizontal="center"/>
    </xf>
    <xf numFmtId="3" fontId="3" fillId="2" borderId="13" xfId="0" applyNumberFormat="1" applyFont="1" applyFill="1" applyBorder="1" applyAlignment="1"/>
    <xf numFmtId="3" fontId="4" fillId="0" borderId="9" xfId="0" applyNumberFormat="1" applyFont="1" applyFill="1" applyBorder="1" applyAlignment="1">
      <alignment horizontal="right"/>
    </xf>
    <xf numFmtId="3" fontId="4" fillId="0" borderId="4" xfId="0" applyNumberFormat="1" applyFont="1" applyFill="1" applyBorder="1" applyAlignment="1">
      <alignment horizontal="right"/>
    </xf>
    <xf numFmtId="3" fontId="4" fillId="0" borderId="5" xfId="0" applyNumberFormat="1" applyFont="1" applyFill="1" applyBorder="1" applyAlignment="1">
      <alignment horizontal="right"/>
    </xf>
    <xf numFmtId="3" fontId="4" fillId="0" borderId="7" xfId="0" applyNumberFormat="1" applyFont="1" applyFill="1" applyBorder="1" applyAlignment="1">
      <alignment horizontal="right"/>
    </xf>
    <xf numFmtId="166" fontId="4" fillId="0" borderId="4" xfId="0" applyNumberFormat="1" applyFont="1" applyFill="1" applyBorder="1" applyAlignment="1">
      <alignment horizontal="right"/>
    </xf>
    <xf numFmtId="4" fontId="4" fillId="0" borderId="6" xfId="0" applyNumberFormat="1" applyFont="1" applyFill="1" applyBorder="1" applyAlignment="1">
      <alignment horizontal="right"/>
    </xf>
    <xf numFmtId="166" fontId="4" fillId="0" borderId="7" xfId="0" applyNumberFormat="1" applyFont="1" applyFill="1" applyBorder="1" applyAlignment="1">
      <alignment horizontal="right"/>
    </xf>
    <xf numFmtId="3" fontId="4" fillId="0" borderId="17" xfId="0" applyNumberFormat="1" applyFont="1" applyFill="1" applyBorder="1" applyAlignment="1">
      <alignment horizontal="right"/>
    </xf>
    <xf numFmtId="3" fontId="4" fillId="0" borderId="18" xfId="0" applyNumberFormat="1" applyFont="1" applyFill="1" applyBorder="1" applyAlignment="1">
      <alignment horizontal="right"/>
    </xf>
    <xf numFmtId="3" fontId="4" fillId="0" borderId="19" xfId="0" applyNumberFormat="1" applyFont="1" applyFill="1" applyBorder="1" applyAlignment="1">
      <alignment horizontal="right"/>
    </xf>
    <xf numFmtId="4" fontId="4" fillId="0" borderId="18" xfId="0" applyNumberFormat="1" applyFont="1" applyFill="1" applyBorder="1" applyAlignment="1">
      <alignment horizontal="right"/>
    </xf>
    <xf numFmtId="3" fontId="4" fillId="0" borderId="9" xfId="0" applyNumberFormat="1" applyFont="1" applyFill="1" applyBorder="1" applyAlignment="1">
      <alignment horizontal="left"/>
    </xf>
    <xf numFmtId="3" fontId="4" fillId="0" borderId="5" xfId="0" applyNumberFormat="1" applyFont="1" applyFill="1" applyBorder="1" applyAlignment="1">
      <alignment horizontal="left"/>
    </xf>
    <xf numFmtId="3" fontId="6" fillId="0" borderId="1" xfId="0" applyNumberFormat="1" applyFont="1" applyFill="1" applyBorder="1" applyAlignment="1">
      <alignment horizontal="right"/>
    </xf>
    <xf numFmtId="3" fontId="6" fillId="2" borderId="3" xfId="0" applyNumberFormat="1" applyFont="1" applyFill="1" applyBorder="1" applyAlignment="1">
      <alignment horizontal="right"/>
    </xf>
    <xf numFmtId="3" fontId="6" fillId="2" borderId="13" xfId="0" applyNumberFormat="1" applyFont="1" applyFill="1" applyBorder="1" applyAlignment="1">
      <alignment horizontal="right"/>
    </xf>
    <xf numFmtId="3" fontId="6" fillId="2" borderId="2" xfId="1" applyNumberFormat="1" applyFont="1" applyFill="1" applyBorder="1" applyAlignment="1">
      <alignment horizontal="right"/>
    </xf>
    <xf numFmtId="3" fontId="6" fillId="2" borderId="4" xfId="0" applyNumberFormat="1" applyFont="1" applyFill="1" applyBorder="1" applyAlignment="1">
      <alignment horizontal="right"/>
    </xf>
    <xf numFmtId="3" fontId="6" fillId="2" borderId="15" xfId="0" applyNumberFormat="1" applyFont="1" applyFill="1" applyBorder="1" applyAlignment="1">
      <alignment horizontal="right"/>
    </xf>
    <xf numFmtId="3" fontId="6" fillId="2" borderId="1" xfId="0" applyNumberFormat="1" applyFont="1" applyFill="1" applyBorder="1" applyAlignment="1">
      <alignment horizontal="right"/>
    </xf>
    <xf numFmtId="3" fontId="6" fillId="2" borderId="7" xfId="0" applyNumberFormat="1" applyFont="1" applyFill="1" applyBorder="1" applyAlignment="1">
      <alignment horizontal="right"/>
    </xf>
    <xf numFmtId="3" fontId="6" fillId="2" borderId="14" xfId="0" applyNumberFormat="1" applyFont="1" applyFill="1" applyBorder="1" applyAlignment="1">
      <alignment horizontal="right"/>
    </xf>
    <xf numFmtId="3" fontId="6" fillId="2" borderId="6" xfId="0" applyNumberFormat="1" applyFont="1" applyFill="1" applyBorder="1" applyAlignment="1">
      <alignment horizontal="right"/>
    </xf>
    <xf numFmtId="3" fontId="6" fillId="0" borderId="20" xfId="0" applyNumberFormat="1" applyFont="1" applyFill="1" applyBorder="1" applyAlignment="1">
      <alignment horizontal="right"/>
    </xf>
    <xf numFmtId="4" fontId="6" fillId="0" borderId="18" xfId="0" applyNumberFormat="1" applyFont="1" applyFill="1" applyBorder="1" applyAlignment="1">
      <alignment horizontal="right"/>
    </xf>
    <xf numFmtId="166" fontId="6" fillId="0" borderId="18" xfId="0" applyNumberFormat="1" applyFont="1" applyFill="1" applyBorder="1" applyAlignment="1">
      <alignment horizontal="right"/>
    </xf>
    <xf numFmtId="167" fontId="6" fillId="0" borderId="18" xfId="0" applyNumberFormat="1" applyFont="1" applyFill="1" applyBorder="1" applyAlignment="1">
      <alignment horizontal="right"/>
    </xf>
    <xf numFmtId="3" fontId="7" fillId="2" borderId="2" xfId="0" applyNumberFormat="1" applyFont="1" applyFill="1" applyBorder="1" applyAlignment="1"/>
    <xf numFmtId="3" fontId="8" fillId="2" borderId="6" xfId="0" applyNumberFormat="1" applyFont="1" applyFill="1" applyBorder="1" applyAlignment="1">
      <alignment horizontal="center"/>
    </xf>
    <xf numFmtId="3" fontId="8" fillId="3" borderId="6" xfId="0" applyNumberFormat="1" applyFont="1" applyFill="1" applyBorder="1" applyAlignment="1">
      <alignment horizontal="center"/>
    </xf>
    <xf numFmtId="3" fontId="8" fillId="3" borderId="7" xfId="0" applyNumberFormat="1" applyFont="1" applyFill="1" applyBorder="1" applyAlignment="1">
      <alignment horizontal="center"/>
    </xf>
    <xf numFmtId="3" fontId="8" fillId="2" borderId="1" xfId="0" applyNumberFormat="1" applyFont="1" applyFill="1" applyBorder="1" applyAlignment="1">
      <alignment horizontal="right"/>
    </xf>
    <xf numFmtId="3" fontId="8" fillId="2" borderId="4" xfId="0" applyNumberFormat="1" applyFont="1" applyFill="1" applyBorder="1" applyAlignment="1">
      <alignment horizontal="right"/>
    </xf>
    <xf numFmtId="3" fontId="8" fillId="2" borderId="9" xfId="0" applyNumberFormat="1" applyFont="1" applyFill="1" applyBorder="1" applyAlignment="1">
      <alignment horizontal="center"/>
    </xf>
    <xf numFmtId="3" fontId="8" fillId="0" borderId="9" xfId="0" applyNumberFormat="1" applyFont="1" applyFill="1" applyBorder="1" applyAlignment="1">
      <alignment horizontal="left"/>
    </xf>
    <xf numFmtId="3" fontId="8" fillId="2" borderId="5" xfId="0" applyNumberFormat="1" applyFont="1" applyFill="1" applyBorder="1" applyAlignment="1"/>
    <xf numFmtId="3" fontId="8" fillId="2" borderId="16" xfId="0" applyNumberFormat="1" applyFont="1" applyFill="1" applyBorder="1" applyAlignment="1"/>
    <xf numFmtId="3" fontId="8" fillId="2" borderId="12" xfId="0" applyNumberFormat="1" applyFont="1" applyFill="1" applyBorder="1" applyAlignment="1"/>
    <xf numFmtId="3" fontId="8" fillId="2" borderId="10" xfId="0" applyNumberFormat="1" applyFont="1" applyFill="1" applyBorder="1" applyAlignment="1"/>
    <xf numFmtId="3" fontId="8" fillId="2" borderId="11" xfId="0" applyNumberFormat="1" applyFont="1" applyFill="1" applyBorder="1" applyAlignment="1"/>
    <xf numFmtId="3" fontId="8" fillId="3" borderId="14" xfId="0" applyNumberFormat="1" applyFont="1" applyFill="1" applyBorder="1" applyAlignment="1">
      <alignment horizontal="center"/>
    </xf>
    <xf numFmtId="3" fontId="7" fillId="2" borderId="21" xfId="0" applyNumberFormat="1" applyFont="1" applyFill="1" applyBorder="1" applyAlignment="1"/>
    <xf numFmtId="3" fontId="8" fillId="2" borderId="22" xfId="0" applyNumberFormat="1" applyFont="1" applyFill="1" applyBorder="1" applyAlignment="1"/>
    <xf numFmtId="3" fontId="8" fillId="2" borderId="23" xfId="0" applyNumberFormat="1" applyFont="1" applyFill="1" applyBorder="1" applyAlignment="1"/>
    <xf numFmtId="3" fontId="9" fillId="0" borderId="19" xfId="0" applyNumberFormat="1" applyFont="1" applyFill="1" applyBorder="1" applyAlignment="1">
      <alignment horizontal="right"/>
    </xf>
    <xf numFmtId="2" fontId="9" fillId="0" borderId="20" xfId="1" applyNumberFormat="1" applyFont="1" applyFill="1" applyBorder="1" applyAlignment="1">
      <alignment horizontal="right"/>
    </xf>
    <xf numFmtId="3" fontId="9" fillId="0" borderId="18" xfId="0" applyNumberFormat="1" applyFont="1" applyFill="1" applyBorder="1" applyAlignment="1">
      <alignment horizontal="right"/>
    </xf>
    <xf numFmtId="2" fontId="9" fillId="0" borderId="18" xfId="1" applyNumberFormat="1" applyFont="1" applyFill="1" applyBorder="1" applyAlignment="1">
      <alignment horizontal="right"/>
    </xf>
    <xf numFmtId="3" fontId="9" fillId="0" borderId="4" xfId="0" applyNumberFormat="1" applyFont="1" applyFill="1" applyBorder="1" applyAlignment="1">
      <alignment horizontal="right"/>
    </xf>
    <xf numFmtId="2" fontId="9" fillId="0" borderId="15" xfId="1" applyNumberFormat="1" applyFont="1" applyFill="1" applyBorder="1" applyAlignment="1">
      <alignment horizontal="right"/>
    </xf>
    <xf numFmtId="3" fontId="9" fillId="0" borderId="1" xfId="0" applyNumberFormat="1" applyFont="1" applyFill="1" applyBorder="1" applyAlignment="1">
      <alignment horizontal="right"/>
    </xf>
    <xf numFmtId="2" fontId="9" fillId="0" borderId="1" xfId="1" applyNumberFormat="1" applyFont="1" applyFill="1" applyBorder="1" applyAlignment="1">
      <alignment horizontal="right"/>
    </xf>
    <xf numFmtId="2" fontId="9" fillId="0" borderId="14" xfId="1" applyNumberFormat="1" applyFont="1" applyFill="1" applyBorder="1" applyAlignment="1">
      <alignment horizontal="right"/>
    </xf>
    <xf numFmtId="3" fontId="9" fillId="0" borderId="6" xfId="0" applyNumberFormat="1" applyFont="1" applyFill="1" applyBorder="1" applyAlignment="1">
      <alignment horizontal="right"/>
    </xf>
    <xf numFmtId="2" fontId="9" fillId="0" borderId="6" xfId="1" applyNumberFormat="1" applyFont="1" applyFill="1" applyBorder="1" applyAlignment="1">
      <alignment horizontal="right"/>
    </xf>
    <xf numFmtId="2" fontId="9" fillId="0" borderId="13" xfId="1" applyNumberFormat="1" applyFont="1" applyFill="1" applyBorder="1" applyAlignment="1">
      <alignment horizontal="right"/>
    </xf>
    <xf numFmtId="3" fontId="9" fillId="0" borderId="2" xfId="0" applyNumberFormat="1" applyFont="1" applyFill="1" applyBorder="1" applyAlignment="1">
      <alignment horizontal="right"/>
    </xf>
    <xf numFmtId="2" fontId="9" fillId="0" borderId="2" xfId="1" applyNumberFormat="1" applyFont="1" applyFill="1" applyBorder="1" applyAlignment="1">
      <alignment horizontal="right"/>
    </xf>
    <xf numFmtId="168" fontId="9" fillId="0" borderId="18" xfId="1" applyNumberFormat="1" applyFont="1" applyFill="1" applyBorder="1" applyAlignment="1">
      <alignment horizontal="right"/>
    </xf>
    <xf numFmtId="164" fontId="9" fillId="0" borderId="18" xfId="1" applyNumberFormat="1" applyFont="1" applyFill="1" applyBorder="1" applyAlignment="1">
      <alignment horizontal="right"/>
    </xf>
    <xf numFmtId="2" fontId="9" fillId="0" borderId="19" xfId="0" applyNumberFormat="1" applyFont="1" applyFill="1" applyBorder="1" applyAlignment="1">
      <alignment horizontal="right"/>
    </xf>
    <xf numFmtId="168" fontId="9" fillId="0" borderId="1" xfId="1" applyNumberFormat="1" applyFont="1" applyFill="1" applyBorder="1" applyAlignment="1">
      <alignment horizontal="right"/>
    </xf>
    <xf numFmtId="164" fontId="9" fillId="0" borderId="1" xfId="1" applyNumberFormat="1" applyFont="1" applyFill="1" applyBorder="1" applyAlignment="1">
      <alignment horizontal="right"/>
    </xf>
    <xf numFmtId="2" fontId="9" fillId="0" borderId="4" xfId="0" applyNumberFormat="1" applyFont="1" applyFill="1" applyBorder="1" applyAlignment="1">
      <alignment horizontal="right"/>
    </xf>
    <xf numFmtId="168" fontId="9" fillId="0" borderId="6" xfId="1" applyNumberFormat="1" applyFont="1" applyFill="1" applyBorder="1" applyAlignment="1">
      <alignment horizontal="right"/>
    </xf>
    <xf numFmtId="164" fontId="9" fillId="0" borderId="6" xfId="1" applyNumberFormat="1" applyFont="1" applyFill="1" applyBorder="1" applyAlignment="1">
      <alignment horizontal="right"/>
    </xf>
    <xf numFmtId="2" fontId="9" fillId="0" borderId="7" xfId="0" applyNumberFormat="1" applyFont="1" applyFill="1" applyBorder="1" applyAlignment="1">
      <alignment horizontal="right"/>
    </xf>
    <xf numFmtId="168" fontId="9" fillId="0" borderId="2" xfId="1" applyNumberFormat="1" applyFont="1" applyFill="1" applyBorder="1" applyAlignment="1">
      <alignment horizontal="right"/>
    </xf>
    <xf numFmtId="164" fontId="9" fillId="0" borderId="2" xfId="1" applyNumberFormat="1" applyFont="1" applyFill="1" applyBorder="1" applyAlignment="1">
      <alignment horizontal="right"/>
    </xf>
    <xf numFmtId="2" fontId="9" fillId="0" borderId="3" xfId="0" applyNumberFormat="1" applyFont="1" applyFill="1" applyBorder="1" applyAlignment="1">
      <alignment horizontal="right"/>
    </xf>
    <xf numFmtId="3" fontId="9" fillId="0" borderId="7" xfId="0" applyNumberFormat="1" applyFont="1" applyFill="1" applyBorder="1" applyAlignment="1">
      <alignment horizontal="right"/>
    </xf>
    <xf numFmtId="4" fontId="9" fillId="0" borderId="1" xfId="0" applyNumberFormat="1" applyFont="1" applyFill="1" applyBorder="1" applyAlignment="1">
      <alignment horizontal="right"/>
    </xf>
    <xf numFmtId="4" fontId="9" fillId="0" borderId="6" xfId="0" applyNumberFormat="1" applyFont="1" applyFill="1" applyBorder="1" applyAlignment="1">
      <alignment horizontal="right"/>
    </xf>
    <xf numFmtId="166" fontId="9" fillId="0" borderId="1" xfId="0" applyNumberFormat="1" applyFont="1" applyFill="1" applyBorder="1" applyAlignment="1">
      <alignment horizontal="right"/>
    </xf>
    <xf numFmtId="166" fontId="9" fillId="0" borderId="6" xfId="0" applyNumberFormat="1" applyFont="1" applyFill="1" applyBorder="1" applyAlignment="1">
      <alignment horizontal="right"/>
    </xf>
    <xf numFmtId="3" fontId="9" fillId="0" borderId="15" xfId="0" applyNumberFormat="1" applyFont="1" applyFill="1" applyBorder="1" applyAlignment="1">
      <alignment horizontal="right"/>
    </xf>
    <xf numFmtId="3" fontId="9" fillId="0" borderId="14" xfId="0" applyNumberFormat="1" applyFont="1" applyFill="1" applyBorder="1" applyAlignment="1">
      <alignment horizontal="right"/>
    </xf>
    <xf numFmtId="3" fontId="7" fillId="2" borderId="8" xfId="0" applyNumberFormat="1" applyFont="1" applyFill="1" applyBorder="1" applyAlignment="1">
      <alignment horizontal="center"/>
    </xf>
    <xf numFmtId="3" fontId="7" fillId="2" borderId="2" xfId="0" applyNumberFormat="1" applyFont="1" applyFill="1" applyBorder="1" applyAlignment="1">
      <alignment horizontal="center"/>
    </xf>
    <xf numFmtId="3" fontId="7" fillId="2" borderId="3" xfId="0" applyNumberFormat="1" applyFont="1" applyFill="1" applyBorder="1" applyAlignment="1">
      <alignment horizontal="center"/>
    </xf>
    <xf numFmtId="3" fontId="8" fillId="2" borderId="8" xfId="0" applyNumberFormat="1" applyFont="1" applyFill="1" applyBorder="1" applyAlignment="1">
      <alignment horizontal="center"/>
    </xf>
    <xf numFmtId="3" fontId="8" fillId="2" borderId="2" xfId="0" applyNumberFormat="1" applyFont="1" applyFill="1" applyBorder="1" applyAlignment="1">
      <alignment horizontal="center"/>
    </xf>
    <xf numFmtId="3" fontId="8" fillId="2" borderId="9" xfId="0" applyNumberFormat="1" applyFont="1" applyFill="1" applyBorder="1" applyAlignment="1">
      <alignment horizontal="center"/>
    </xf>
    <xf numFmtId="3" fontId="8" fillId="2" borderId="1" xfId="0" applyNumberFormat="1" applyFont="1" applyFill="1" applyBorder="1" applyAlignment="1">
      <alignment horizontal="center"/>
    </xf>
    <xf numFmtId="3" fontId="8" fillId="2" borderId="5" xfId="0" applyNumberFormat="1" applyFont="1" applyFill="1" applyBorder="1" applyAlignment="1">
      <alignment horizontal="center"/>
    </xf>
    <xf numFmtId="3" fontId="8" fillId="2" borderId="6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b/>
        <i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26</xdr:row>
          <xdr:rowOff>9525</xdr:rowOff>
        </xdr:from>
        <xdr:to>
          <xdr:col>4</xdr:col>
          <xdr:colOff>133350</xdr:colOff>
          <xdr:row>29</xdr:row>
          <xdr:rowOff>19050</xdr:rowOff>
        </xdr:to>
        <xdr:sp macro="" textlink="">
          <xdr:nvSpPr>
            <xdr:cNvPr id="1106" name="CommandButton1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9525</xdr:rowOff>
        </xdr:from>
        <xdr:to>
          <xdr:col>16</xdr:col>
          <xdr:colOff>361950</xdr:colOff>
          <xdr:row>31</xdr:row>
          <xdr:rowOff>104775</xdr:rowOff>
        </xdr:to>
        <xdr:sp macro="" textlink="">
          <xdr:nvSpPr>
            <xdr:cNvPr id="1107" name="solveStatusBox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55"/>
  <sheetViews>
    <sheetView showGridLines="0" tabSelected="1" workbookViewId="0"/>
  </sheetViews>
  <sheetFormatPr defaultColWidth="7" defaultRowHeight="12.75" x14ac:dyDescent="0.2"/>
  <cols>
    <col min="1" max="1" width="1.7109375" style="1" customWidth="1"/>
    <col min="2" max="2" width="11" style="5" bestFit="1" customWidth="1"/>
    <col min="3" max="5" width="7.85546875" style="1" bestFit="1" customWidth="1"/>
    <col min="6" max="6" width="8.42578125" style="1" bestFit="1" customWidth="1"/>
    <col min="7" max="7" width="9.5703125" style="1" bestFit="1" customWidth="1"/>
    <col min="8" max="8" width="7.85546875" style="1" bestFit="1" customWidth="1"/>
    <col min="9" max="9" width="6.5703125" style="1" bestFit="1" customWidth="1"/>
    <col min="10" max="10" width="5.85546875" style="1" bestFit="1" customWidth="1"/>
    <col min="11" max="11" width="6.5703125" style="1" bestFit="1" customWidth="1"/>
    <col min="12" max="12" width="7.85546875" style="1" bestFit="1" customWidth="1"/>
    <col min="13" max="13" width="5.7109375" style="1" bestFit="1" customWidth="1"/>
    <col min="14" max="14" width="7.85546875" style="1" bestFit="1" customWidth="1"/>
    <col min="15" max="15" width="7.42578125" style="1" bestFit="1" customWidth="1"/>
    <col min="16" max="18" width="5.7109375" style="1" bestFit="1" customWidth="1"/>
    <col min="19" max="19" width="7.85546875" style="1" bestFit="1" customWidth="1"/>
    <col min="20" max="20" width="2.7109375" style="1" customWidth="1"/>
    <col min="21" max="21" width="14.42578125" style="1" bestFit="1" customWidth="1"/>
    <col min="22" max="23" width="8.42578125" style="1" bestFit="1" customWidth="1"/>
    <col min="24" max="16384" width="7" style="1"/>
  </cols>
  <sheetData>
    <row r="2" spans="2:23" x14ac:dyDescent="0.2">
      <c r="B2" s="11"/>
      <c r="C2" s="44" t="s">
        <v>56</v>
      </c>
      <c r="D2" s="12"/>
      <c r="E2" s="12"/>
      <c r="F2" s="44" t="s">
        <v>58</v>
      </c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U2" s="94" t="s">
        <v>59</v>
      </c>
      <c r="V2" s="95"/>
      <c r="W2" s="96"/>
    </row>
    <row r="3" spans="2:23" x14ac:dyDescent="0.2">
      <c r="B3" s="52" t="s">
        <v>0</v>
      </c>
      <c r="C3" s="45" t="s">
        <v>1</v>
      </c>
      <c r="D3" s="45" t="s">
        <v>2</v>
      </c>
      <c r="E3" s="45" t="s">
        <v>3</v>
      </c>
      <c r="F3" s="46" t="s">
        <v>5</v>
      </c>
      <c r="G3" s="46" t="s">
        <v>17</v>
      </c>
      <c r="H3" s="46" t="s">
        <v>4</v>
      </c>
      <c r="I3" s="46" t="s">
        <v>6</v>
      </c>
      <c r="J3" s="46" t="s">
        <v>7</v>
      </c>
      <c r="K3" s="46" t="s">
        <v>8</v>
      </c>
      <c r="L3" s="46" t="s">
        <v>9</v>
      </c>
      <c r="M3" s="46" t="s">
        <v>10</v>
      </c>
      <c r="N3" s="46" t="s">
        <v>11</v>
      </c>
      <c r="O3" s="46" t="s">
        <v>12</v>
      </c>
      <c r="P3" s="46" t="s">
        <v>13</v>
      </c>
      <c r="Q3" s="46" t="s">
        <v>14</v>
      </c>
      <c r="R3" s="46" t="s">
        <v>15</v>
      </c>
      <c r="S3" s="47" t="s">
        <v>16</v>
      </c>
      <c r="T3" s="2"/>
      <c r="U3" s="50" t="s">
        <v>44</v>
      </c>
      <c r="V3" s="48" t="s">
        <v>41</v>
      </c>
      <c r="W3" s="49" t="s">
        <v>42</v>
      </c>
    </row>
    <row r="4" spans="2:23" x14ac:dyDescent="0.2">
      <c r="B4" s="53" t="s">
        <v>18</v>
      </c>
      <c r="C4" s="24"/>
      <c r="D4" s="25"/>
      <c r="E4" s="61">
        <v>0</v>
      </c>
      <c r="F4" s="62">
        <v>0.57499999999999996</v>
      </c>
      <c r="G4" s="63">
        <v>12</v>
      </c>
      <c r="H4" s="64">
        <v>0.42499999999999999</v>
      </c>
      <c r="I4" s="64">
        <v>0.02</v>
      </c>
      <c r="J4" s="64">
        <v>0.01</v>
      </c>
      <c r="K4" s="64">
        <v>5.0000000000000001E-3</v>
      </c>
      <c r="L4" s="64">
        <v>0.53</v>
      </c>
      <c r="M4" s="64">
        <v>5.0000000000000001E-3</v>
      </c>
      <c r="N4" s="64">
        <v>0.42188762850053174</v>
      </c>
      <c r="O4" s="75">
        <v>1.0000000000000001E-5</v>
      </c>
      <c r="P4" s="76">
        <v>2.0000000000000001E-4</v>
      </c>
      <c r="Q4" s="76">
        <v>2.9999999999999997E-4</v>
      </c>
      <c r="R4" s="76">
        <v>2.9999999999999997E-4</v>
      </c>
      <c r="S4" s="77">
        <v>0</v>
      </c>
      <c r="T4" s="2"/>
      <c r="U4" s="51" t="s">
        <v>43</v>
      </c>
      <c r="V4" s="30">
        <f>$E$16</f>
        <v>20000</v>
      </c>
      <c r="W4" s="65">
        <v>20000</v>
      </c>
    </row>
    <row r="5" spans="2:23" x14ac:dyDescent="0.2">
      <c r="B5" s="54" t="s">
        <v>19</v>
      </c>
      <c r="C5" s="17"/>
      <c r="D5" s="3"/>
      <c r="E5" s="65">
        <v>1384706.7713210108</v>
      </c>
      <c r="F5" s="66">
        <v>0.61</v>
      </c>
      <c r="G5" s="67">
        <v>11</v>
      </c>
      <c r="H5" s="68">
        <v>0.39</v>
      </c>
      <c r="I5" s="68">
        <v>0.1</v>
      </c>
      <c r="J5" s="68">
        <v>0.02</v>
      </c>
      <c r="K5" s="68">
        <v>1.4999999999999999E-2</v>
      </c>
      <c r="L5" s="68">
        <v>0.47</v>
      </c>
      <c r="M5" s="68">
        <v>7.0000000000000001E-3</v>
      </c>
      <c r="N5" s="68">
        <v>0.37692839418645868</v>
      </c>
      <c r="O5" s="78">
        <v>0</v>
      </c>
      <c r="P5" s="79">
        <v>4.0000000000000001E-3</v>
      </c>
      <c r="Q5" s="79">
        <v>6.9999999999999999E-4</v>
      </c>
      <c r="R5" s="79">
        <v>4.0000000000000001E-3</v>
      </c>
      <c r="S5" s="80">
        <v>0</v>
      </c>
      <c r="T5" s="2"/>
      <c r="U5" s="51" t="s">
        <v>45</v>
      </c>
      <c r="V5" s="30">
        <f>-F17</f>
        <v>-1799999.9999999991</v>
      </c>
      <c r="W5" s="65">
        <v>-1800000</v>
      </c>
    </row>
    <row r="6" spans="2:23" x14ac:dyDescent="0.2">
      <c r="B6" s="54" t="s">
        <v>20</v>
      </c>
      <c r="C6" s="17"/>
      <c r="D6" s="3"/>
      <c r="E6" s="65">
        <v>1355839.8826049552</v>
      </c>
      <c r="F6" s="66">
        <v>0.66</v>
      </c>
      <c r="G6" s="67">
        <v>10</v>
      </c>
      <c r="H6" s="68">
        <v>0.34</v>
      </c>
      <c r="I6" s="68">
        <v>0.15</v>
      </c>
      <c r="J6" s="68">
        <v>0.04</v>
      </c>
      <c r="K6" s="68">
        <v>0.02</v>
      </c>
      <c r="L6" s="68">
        <v>0.42</v>
      </c>
      <c r="M6" s="68">
        <v>8.0000000000000002E-3</v>
      </c>
      <c r="N6" s="68">
        <v>0.33873449131513644</v>
      </c>
      <c r="O6" s="78">
        <v>0</v>
      </c>
      <c r="P6" s="79">
        <v>7.0000000000000001E-3</v>
      </c>
      <c r="Q6" s="79">
        <v>4.0000000000000001E-3</v>
      </c>
      <c r="R6" s="79">
        <v>8.0000000000000002E-3</v>
      </c>
      <c r="S6" s="80">
        <v>0</v>
      </c>
      <c r="T6" s="2"/>
      <c r="U6" s="51" t="s">
        <v>46</v>
      </c>
      <c r="V6" s="30">
        <f>F17</f>
        <v>1799999.9999999991</v>
      </c>
      <c r="W6" s="65">
        <v>1800000</v>
      </c>
    </row>
    <row r="7" spans="2:23" x14ac:dyDescent="0.2">
      <c r="B7" s="54" t="s">
        <v>21</v>
      </c>
      <c r="C7" s="17"/>
      <c r="D7" s="3"/>
      <c r="E7" s="65">
        <v>0</v>
      </c>
      <c r="F7" s="66">
        <v>0.96</v>
      </c>
      <c r="G7" s="67">
        <v>80</v>
      </c>
      <c r="H7" s="68">
        <v>0.04</v>
      </c>
      <c r="I7" s="68">
        <v>0.6</v>
      </c>
      <c r="J7" s="68">
        <v>0.21</v>
      </c>
      <c r="K7" s="68">
        <v>0.04</v>
      </c>
      <c r="L7" s="68">
        <v>0</v>
      </c>
      <c r="M7" s="68">
        <v>1.2E-2</v>
      </c>
      <c r="N7" s="68">
        <v>1.3101736972704716E-2</v>
      </c>
      <c r="O7" s="78">
        <v>0</v>
      </c>
      <c r="P7" s="79">
        <v>0.01</v>
      </c>
      <c r="Q7" s="79">
        <v>6.0000000000000001E-3</v>
      </c>
      <c r="R7" s="79">
        <v>0.04</v>
      </c>
      <c r="S7" s="80">
        <v>0</v>
      </c>
      <c r="T7" s="2"/>
      <c r="U7" s="51" t="s">
        <v>47</v>
      </c>
      <c r="V7" s="30">
        <f>3.2 * (F17)- (S17)</f>
        <v>0</v>
      </c>
      <c r="W7" s="65">
        <v>0</v>
      </c>
    </row>
    <row r="8" spans="2:23" x14ac:dyDescent="0.2">
      <c r="B8" s="54" t="s">
        <v>22</v>
      </c>
      <c r="C8" s="17"/>
      <c r="D8" s="3"/>
      <c r="E8" s="65">
        <v>0</v>
      </c>
      <c r="F8" s="66">
        <v>0.93</v>
      </c>
      <c r="G8" s="67">
        <v>50</v>
      </c>
      <c r="H8" s="68">
        <v>7.0000000000000007E-2</v>
      </c>
      <c r="I8" s="68">
        <v>0.6</v>
      </c>
      <c r="J8" s="68">
        <v>0.16</v>
      </c>
      <c r="K8" s="68">
        <v>0.04</v>
      </c>
      <c r="L8" s="68">
        <v>0.03</v>
      </c>
      <c r="M8" s="68">
        <v>0.03</v>
      </c>
      <c r="N8" s="68">
        <v>5.6325771003190354E-2</v>
      </c>
      <c r="O8" s="78">
        <v>0</v>
      </c>
      <c r="P8" s="79">
        <v>7.0000000000000001E-3</v>
      </c>
      <c r="Q8" s="79">
        <v>0.01</v>
      </c>
      <c r="R8" s="79">
        <v>0.03</v>
      </c>
      <c r="S8" s="80">
        <v>0</v>
      </c>
      <c r="T8" s="2"/>
      <c r="U8" s="51" t="s">
        <v>48</v>
      </c>
      <c r="V8" s="30">
        <f>(S17)-3.2*(F17)</f>
        <v>0</v>
      </c>
      <c r="W8" s="65">
        <v>0</v>
      </c>
    </row>
    <row r="9" spans="2:23" x14ac:dyDescent="0.2">
      <c r="B9" s="54" t="s">
        <v>23</v>
      </c>
      <c r="C9" s="17"/>
      <c r="D9" s="3"/>
      <c r="E9" s="65">
        <v>0</v>
      </c>
      <c r="F9" s="66">
        <v>0.98</v>
      </c>
      <c r="G9" s="67">
        <v>25</v>
      </c>
      <c r="H9" s="68">
        <v>0.02</v>
      </c>
      <c r="I9" s="68">
        <v>0.49</v>
      </c>
      <c r="J9" s="68">
        <v>0.26</v>
      </c>
      <c r="K9" s="68">
        <v>0.05</v>
      </c>
      <c r="L9" s="68">
        <v>0.05</v>
      </c>
      <c r="M9" s="68">
        <v>0.01</v>
      </c>
      <c r="N9" s="68">
        <v>5.0203828429634882E-2</v>
      </c>
      <c r="O9" s="78">
        <v>0</v>
      </c>
      <c r="P9" s="79">
        <v>6.0000000000000001E-3</v>
      </c>
      <c r="Q9" s="79">
        <v>0</v>
      </c>
      <c r="R9" s="79">
        <v>1.2E-2</v>
      </c>
      <c r="S9" s="80">
        <v>0</v>
      </c>
      <c r="T9" s="2"/>
      <c r="U9" s="51" t="s">
        <v>49</v>
      </c>
      <c r="V9" s="30">
        <f>98 * ((2.8*I17+1.18*J17+0.65*K17))- (100*L17)</f>
        <v>0</v>
      </c>
      <c r="W9" s="65">
        <v>0</v>
      </c>
    </row>
    <row r="10" spans="2:23" x14ac:dyDescent="0.2">
      <c r="B10" s="54" t="s">
        <v>24</v>
      </c>
      <c r="C10" s="17"/>
      <c r="D10" s="3"/>
      <c r="E10" s="65">
        <v>57512.529411888056</v>
      </c>
      <c r="F10" s="66">
        <v>0.99</v>
      </c>
      <c r="G10" s="67">
        <v>120</v>
      </c>
      <c r="H10" s="68">
        <v>0.01</v>
      </c>
      <c r="I10" s="68">
        <v>0.93</v>
      </c>
      <c r="J10" s="68">
        <v>0.03</v>
      </c>
      <c r="K10" s="68">
        <v>0.01</v>
      </c>
      <c r="L10" s="68">
        <v>6.0000000000000001E-3</v>
      </c>
      <c r="M10" s="68">
        <v>3.0000000000000001E-3</v>
      </c>
      <c r="N10" s="68">
        <v>7.9897199574618938E-3</v>
      </c>
      <c r="O10" s="78">
        <v>0</v>
      </c>
      <c r="P10" s="79">
        <v>9.9999999999999995E-7</v>
      </c>
      <c r="Q10" s="79">
        <v>9.9999999999999995E-8</v>
      </c>
      <c r="R10" s="79">
        <v>9.9999999999999995E-8</v>
      </c>
      <c r="S10" s="80">
        <v>0</v>
      </c>
      <c r="T10" s="2"/>
      <c r="U10" s="51" t="s">
        <v>50</v>
      </c>
      <c r="V10" s="30">
        <f>(100*L17)-98*((2.8*I17+1.18*J17+0.65*K17))</f>
        <v>0</v>
      </c>
      <c r="W10" s="65">
        <v>0</v>
      </c>
    </row>
    <row r="11" spans="2:23" x14ac:dyDescent="0.2">
      <c r="B11" s="54" t="s">
        <v>25</v>
      </c>
      <c r="C11" s="17"/>
      <c r="D11" s="3"/>
      <c r="E11" s="65">
        <v>0</v>
      </c>
      <c r="F11" s="66">
        <v>0.73</v>
      </c>
      <c r="G11" s="67">
        <v>230</v>
      </c>
      <c r="H11" s="68">
        <v>0.27</v>
      </c>
      <c r="I11" s="68">
        <v>0.11</v>
      </c>
      <c r="J11" s="68">
        <v>0.55800000000000005</v>
      </c>
      <c r="K11" s="68">
        <v>4.1599999999999998E-2</v>
      </c>
      <c r="L11" s="68">
        <v>1E-3</v>
      </c>
      <c r="M11" s="68">
        <v>1E-3</v>
      </c>
      <c r="N11" s="68">
        <v>1.8775257001063454E-3</v>
      </c>
      <c r="O11" s="78">
        <v>0</v>
      </c>
      <c r="P11" s="79">
        <v>1E-3</v>
      </c>
      <c r="Q11" s="79">
        <v>1E-3</v>
      </c>
      <c r="R11" s="79">
        <v>1E-4</v>
      </c>
      <c r="S11" s="80">
        <v>0</v>
      </c>
      <c r="T11" s="2"/>
      <c r="U11" s="51" t="s">
        <v>51</v>
      </c>
      <c r="V11" s="30">
        <f>0.07 * (F17)- ((2.65*J17-1.692*K17))</f>
        <v>-13682.141043255921</v>
      </c>
      <c r="W11" s="65">
        <v>0</v>
      </c>
    </row>
    <row r="12" spans="2:23" x14ac:dyDescent="0.2">
      <c r="B12" s="54" t="s">
        <v>27</v>
      </c>
      <c r="C12" s="17"/>
      <c r="D12" s="3"/>
      <c r="E12" s="65">
        <v>0</v>
      </c>
      <c r="F12" s="66">
        <v>0.92</v>
      </c>
      <c r="G12" s="67">
        <v>45</v>
      </c>
      <c r="H12" s="68">
        <v>0.08</v>
      </c>
      <c r="I12" s="68">
        <v>0.11</v>
      </c>
      <c r="J12" s="68">
        <v>0.06</v>
      </c>
      <c r="K12" s="68">
        <v>0.34</v>
      </c>
      <c r="L12" s="68">
        <v>0.28000000000000003</v>
      </c>
      <c r="M12" s="68">
        <v>7.0000000000000007E-2</v>
      </c>
      <c r="N12" s="68">
        <v>0.29642679900744423</v>
      </c>
      <c r="O12" s="78">
        <v>2.9999999999999997E-4</v>
      </c>
      <c r="P12" s="79">
        <v>6.0000000000000001E-3</v>
      </c>
      <c r="Q12" s="79">
        <v>2.9999999999999997E-4</v>
      </c>
      <c r="R12" s="79">
        <v>1.6000000000000001E-3</v>
      </c>
      <c r="S12" s="80">
        <v>0</v>
      </c>
      <c r="T12" s="2"/>
      <c r="U12" s="51" t="s">
        <v>52</v>
      </c>
      <c r="V12" s="30">
        <f>((2.65*J17-1.692*K17))-0.08*(F17)</f>
        <v>-4317.8589567440795</v>
      </c>
      <c r="W12" s="65">
        <v>0</v>
      </c>
    </row>
    <row r="13" spans="2:23" x14ac:dyDescent="0.2">
      <c r="B13" s="55" t="s">
        <v>26</v>
      </c>
      <c r="C13" s="19"/>
      <c r="D13" s="9"/>
      <c r="E13" s="87">
        <v>0</v>
      </c>
      <c r="F13" s="69">
        <v>0.87</v>
      </c>
      <c r="G13" s="70">
        <v>85</v>
      </c>
      <c r="H13" s="71">
        <v>0.13</v>
      </c>
      <c r="I13" s="71">
        <v>0.09</v>
      </c>
      <c r="J13" s="71">
        <v>0.06</v>
      </c>
      <c r="K13" s="71">
        <v>0.68</v>
      </c>
      <c r="L13" s="71">
        <v>0.02</v>
      </c>
      <c r="M13" s="71">
        <v>8.0000000000000002E-3</v>
      </c>
      <c r="N13" s="71">
        <v>2.4448777029422192E-2</v>
      </c>
      <c r="O13" s="81">
        <v>1E-4</v>
      </c>
      <c r="P13" s="82">
        <v>0</v>
      </c>
      <c r="Q13" s="82">
        <v>3.0000000000000001E-3</v>
      </c>
      <c r="R13" s="82">
        <v>3.0000000000000001E-3</v>
      </c>
      <c r="S13" s="83">
        <v>0</v>
      </c>
      <c r="T13" s="2"/>
      <c r="U13" s="51" t="s">
        <v>53</v>
      </c>
      <c r="V13" s="30">
        <f>0.18 * (F17)- ((3*J17+2.25*K17))</f>
        <v>-36000</v>
      </c>
      <c r="W13" s="65">
        <v>0</v>
      </c>
    </row>
    <row r="14" spans="2:23" x14ac:dyDescent="0.2">
      <c r="B14" s="56" t="s">
        <v>28</v>
      </c>
      <c r="C14" s="24"/>
      <c r="D14" s="25"/>
      <c r="E14" s="61">
        <v>0</v>
      </c>
      <c r="F14" s="72">
        <v>0.15</v>
      </c>
      <c r="G14" s="73">
        <v>1000</v>
      </c>
      <c r="H14" s="74">
        <v>0.85</v>
      </c>
      <c r="I14" s="74">
        <v>0.08</v>
      </c>
      <c r="J14" s="74">
        <v>0.06</v>
      </c>
      <c r="K14" s="74">
        <v>0.01</v>
      </c>
      <c r="L14" s="74">
        <v>0</v>
      </c>
      <c r="M14" s="74">
        <v>0</v>
      </c>
      <c r="N14" s="74">
        <v>2.5</v>
      </c>
      <c r="O14" s="84">
        <v>4.0000000000000002E-4</v>
      </c>
      <c r="P14" s="85">
        <v>7.0000000000000001E-3</v>
      </c>
      <c r="Q14" s="85">
        <v>5.0000000000000001E-4</v>
      </c>
      <c r="R14" s="85">
        <v>4.0000000000000001E-3</v>
      </c>
      <c r="S14" s="86">
        <v>26</v>
      </c>
      <c r="T14" s="2"/>
      <c r="U14" s="51" t="s">
        <v>54</v>
      </c>
      <c r="V14" s="30">
        <f>((3*J17+2.25*K17))-0.2*(F17)</f>
        <v>0</v>
      </c>
      <c r="W14" s="65">
        <v>0</v>
      </c>
    </row>
    <row r="15" spans="2:23" x14ac:dyDescent="0.2">
      <c r="B15" s="54" t="s">
        <v>30</v>
      </c>
      <c r="C15" s="17"/>
      <c r="D15" s="3"/>
      <c r="E15" s="65">
        <v>153714.28571428568</v>
      </c>
      <c r="F15" s="66">
        <v>0.01</v>
      </c>
      <c r="G15" s="67">
        <v>1100</v>
      </c>
      <c r="H15" s="68">
        <v>0.01</v>
      </c>
      <c r="I15" s="68">
        <v>0.01</v>
      </c>
      <c r="J15" s="68">
        <v>0</v>
      </c>
      <c r="K15" s="68">
        <v>0</v>
      </c>
      <c r="L15" s="68">
        <v>0</v>
      </c>
      <c r="M15" s="68">
        <v>0</v>
      </c>
      <c r="N15" s="68">
        <v>3.2</v>
      </c>
      <c r="O15" s="78">
        <v>1E-4</v>
      </c>
      <c r="P15" s="79">
        <v>0.12</v>
      </c>
      <c r="Q15" s="79">
        <v>0</v>
      </c>
      <c r="R15" s="79">
        <v>1E-3</v>
      </c>
      <c r="S15" s="80">
        <v>35</v>
      </c>
      <c r="T15" s="2"/>
      <c r="U15" s="28"/>
      <c r="V15" s="3"/>
      <c r="W15" s="18"/>
    </row>
    <row r="16" spans="2:23" x14ac:dyDescent="0.2">
      <c r="B16" s="55" t="s">
        <v>29</v>
      </c>
      <c r="C16" s="19"/>
      <c r="D16" s="70">
        <v>20000</v>
      </c>
      <c r="E16" s="87">
        <v>20000</v>
      </c>
      <c r="F16" s="69">
        <v>0.1</v>
      </c>
      <c r="G16" s="70">
        <v>250</v>
      </c>
      <c r="H16" s="71">
        <v>0.1</v>
      </c>
      <c r="I16" s="71">
        <v>0.08</v>
      </c>
      <c r="J16" s="10"/>
      <c r="K16" s="10"/>
      <c r="L16" s="71">
        <v>0.02</v>
      </c>
      <c r="M16" s="10"/>
      <c r="N16" s="71">
        <v>1.5714285714285715E-2</v>
      </c>
      <c r="O16" s="81">
        <v>6.0000000000000001E-3</v>
      </c>
      <c r="P16" s="82">
        <v>8.9999999999999993E-3</v>
      </c>
      <c r="Q16" s="82">
        <v>3.0000000000000001E-3</v>
      </c>
      <c r="R16" s="82">
        <v>2E-3</v>
      </c>
      <c r="S16" s="83">
        <v>19</v>
      </c>
      <c r="T16" s="2"/>
      <c r="U16" s="28"/>
      <c r="V16" s="3"/>
      <c r="W16" s="18"/>
    </row>
    <row r="17" spans="2:23" x14ac:dyDescent="0.2">
      <c r="B17" s="97" t="s">
        <v>60</v>
      </c>
      <c r="C17" s="98"/>
      <c r="D17" s="98"/>
      <c r="E17" s="31">
        <f>SUM($E$4:$E$16)</f>
        <v>2971773.4690521397</v>
      </c>
      <c r="F17" s="32">
        <f t="shared" ref="F17:S17" si="0">SUMPRODUCT($E$4:$E$16,F$4:F$16)</f>
        <v>1799999.9999999991</v>
      </c>
      <c r="G17" s="33">
        <f t="shared" si="0"/>
        <v>209777391.12572148</v>
      </c>
      <c r="H17" s="33">
        <f t="shared" si="0"/>
        <v>1005133.4690521407</v>
      </c>
      <c r="I17" s="33">
        <f t="shared" si="0"/>
        <v>398470.45473304309</v>
      </c>
      <c r="J17" s="33">
        <f t="shared" si="0"/>
        <v>83653.106612975083</v>
      </c>
      <c r="K17" s="33">
        <f t="shared" si="0"/>
        <v>48462.524516033147</v>
      </c>
      <c r="L17" s="33">
        <f t="shared" si="0"/>
        <v>1221010.0083914276</v>
      </c>
      <c r="M17" s="33">
        <f t="shared" si="0"/>
        <v>20712.204048322379</v>
      </c>
      <c r="N17" s="33">
        <f t="shared" si="0"/>
        <v>1473864.5416761546</v>
      </c>
      <c r="O17" s="33">
        <f t="shared" si="0"/>
        <v>135.37142857142857</v>
      </c>
      <c r="P17" s="33">
        <f t="shared" si="0"/>
        <v>33655.478061762427</v>
      </c>
      <c r="Q17" s="33">
        <f t="shared" si="0"/>
        <v>6452.6600215974695</v>
      </c>
      <c r="R17" s="33">
        <f t="shared" si="0"/>
        <v>16579.266183090913</v>
      </c>
      <c r="S17" s="31">
        <f t="shared" si="0"/>
        <v>5759999.9999999991</v>
      </c>
      <c r="T17" s="4"/>
      <c r="U17" s="28"/>
      <c r="V17" s="3"/>
      <c r="W17" s="18"/>
    </row>
    <row r="18" spans="2:23" x14ac:dyDescent="0.2">
      <c r="B18" s="99" t="s">
        <v>61</v>
      </c>
      <c r="C18" s="100"/>
      <c r="D18" s="100"/>
      <c r="E18" s="34">
        <f>SUM($E$4:$E$13)</f>
        <v>2798059.1833378542</v>
      </c>
      <c r="F18" s="35">
        <f>SUMPRODUCT($E$4:$E$13,F$4:F$13)</f>
        <v>1796462.8571428561</v>
      </c>
      <c r="G18" s="36">
        <f t="shared" ref="G18:S18" si="1">SUMPRODUCT($E$4:$E$13,G$4:G$13)</f>
        <v>35691676.840007238</v>
      </c>
      <c r="H18" s="36">
        <f t="shared" si="1"/>
        <v>1001596.3261949979</v>
      </c>
      <c r="I18" s="36">
        <f t="shared" si="1"/>
        <v>395333.31187590025</v>
      </c>
      <c r="J18" s="36">
        <f t="shared" si="1"/>
        <v>83653.106612975083</v>
      </c>
      <c r="K18" s="36">
        <f t="shared" si="1"/>
        <v>48462.524516033147</v>
      </c>
      <c r="L18" s="36">
        <f t="shared" si="1"/>
        <v>1220610.0083914276</v>
      </c>
      <c r="M18" s="36">
        <f t="shared" si="1"/>
        <v>20712.204048322379</v>
      </c>
      <c r="N18" s="36">
        <f t="shared" si="1"/>
        <v>981664.54167615459</v>
      </c>
      <c r="O18" s="36">
        <f t="shared" si="1"/>
        <v>0</v>
      </c>
      <c r="P18" s="36">
        <f t="shared" si="1"/>
        <v>15029.763776048143</v>
      </c>
      <c r="Q18" s="36">
        <f t="shared" si="1"/>
        <v>6392.6600215974695</v>
      </c>
      <c r="R18" s="36">
        <f t="shared" si="1"/>
        <v>16385.551897376627</v>
      </c>
      <c r="S18" s="34">
        <f t="shared" si="1"/>
        <v>0</v>
      </c>
      <c r="T18" s="4"/>
      <c r="U18" s="28"/>
      <c r="V18" s="3"/>
      <c r="W18" s="18"/>
    </row>
    <row r="19" spans="2:23" x14ac:dyDescent="0.2">
      <c r="B19" s="101" t="s">
        <v>62</v>
      </c>
      <c r="C19" s="102"/>
      <c r="D19" s="102"/>
      <c r="E19" s="37">
        <f>SUM($E$14:$E$16)</f>
        <v>173714.28571428568</v>
      </c>
      <c r="F19" s="38">
        <f>SUMPRODUCT($E$14:$E$16,F$14:F$16)</f>
        <v>3537.1428571428569</v>
      </c>
      <c r="G19" s="39">
        <f t="shared" ref="G19:S19" si="2">SUMPRODUCT($E$14:$E$16,G$14:G$16)</f>
        <v>174085714.28571424</v>
      </c>
      <c r="H19" s="39">
        <f t="shared" si="2"/>
        <v>3537.1428571428569</v>
      </c>
      <c r="I19" s="39">
        <f t="shared" si="2"/>
        <v>3137.1428571428569</v>
      </c>
      <c r="J19" s="39">
        <f t="shared" si="2"/>
        <v>0</v>
      </c>
      <c r="K19" s="39">
        <f t="shared" si="2"/>
        <v>0</v>
      </c>
      <c r="L19" s="39">
        <f t="shared" si="2"/>
        <v>400</v>
      </c>
      <c r="M19" s="39">
        <f t="shared" si="2"/>
        <v>0</v>
      </c>
      <c r="N19" s="39">
        <f t="shared" si="2"/>
        <v>492199.99999999994</v>
      </c>
      <c r="O19" s="39">
        <f t="shared" si="2"/>
        <v>135.37142857142857</v>
      </c>
      <c r="P19" s="39">
        <f t="shared" si="2"/>
        <v>18625.714285714283</v>
      </c>
      <c r="Q19" s="39">
        <f t="shared" si="2"/>
        <v>60</v>
      </c>
      <c r="R19" s="39">
        <f t="shared" si="2"/>
        <v>193.71428571428569</v>
      </c>
      <c r="S19" s="37">
        <f t="shared" si="2"/>
        <v>5759999.9999999991</v>
      </c>
      <c r="T19" s="4"/>
      <c r="U19" s="28"/>
      <c r="V19" s="3"/>
      <c r="W19" s="18"/>
    </row>
    <row r="20" spans="2:23" x14ac:dyDescent="0.2">
      <c r="U20" s="28"/>
      <c r="V20" s="3"/>
      <c r="W20" s="18"/>
    </row>
    <row r="21" spans="2:23" x14ac:dyDescent="0.2">
      <c r="B21" s="58" t="s">
        <v>55</v>
      </c>
      <c r="C21" s="16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3"/>
      <c r="U21" s="28"/>
      <c r="V21" s="3"/>
      <c r="W21" s="18"/>
    </row>
    <row r="22" spans="2:23" x14ac:dyDescent="0.2">
      <c r="B22" s="59" t="s">
        <v>39</v>
      </c>
      <c r="C22" s="57" t="s">
        <v>38</v>
      </c>
      <c r="D22" s="46" t="s">
        <v>37</v>
      </c>
      <c r="E22" s="46" t="s">
        <v>36</v>
      </c>
      <c r="F22" s="46" t="s">
        <v>31</v>
      </c>
      <c r="G22" s="46" t="s">
        <v>32</v>
      </c>
      <c r="H22" s="46" t="s">
        <v>33</v>
      </c>
      <c r="I22" s="46" t="s">
        <v>34</v>
      </c>
      <c r="J22" s="46" t="s">
        <v>35</v>
      </c>
      <c r="K22" s="46" t="s">
        <v>57</v>
      </c>
      <c r="L22" s="46" t="s">
        <v>63</v>
      </c>
      <c r="M22" s="14"/>
      <c r="N22" s="14"/>
      <c r="O22" s="14"/>
      <c r="P22" s="14"/>
      <c r="Q22" s="14"/>
      <c r="R22" s="14"/>
      <c r="S22" s="15"/>
      <c r="U22" s="28"/>
      <c r="V22" s="3"/>
      <c r="W22" s="18"/>
    </row>
    <row r="23" spans="2:23" x14ac:dyDescent="0.2">
      <c r="B23" s="59" t="s">
        <v>40</v>
      </c>
      <c r="C23" s="40">
        <f>F17</f>
        <v>1799999.9999999991</v>
      </c>
      <c r="D23" s="41">
        <f>G17/F17</f>
        <v>116.54299506984533</v>
      </c>
      <c r="E23" s="41">
        <f>S17/F17</f>
        <v>3.2000000000000011</v>
      </c>
      <c r="F23" s="41">
        <f>100*L17/(2.8*I17+1.18*J17+0.65*K17)</f>
        <v>98</v>
      </c>
      <c r="G23" s="41">
        <f>(-7.601*I17-6.718*J17-1.43*K17+4.071*L17-2.852*P17+3.684*Q17+2.424*R17)/F17</f>
        <v>0.71036064153721012</v>
      </c>
      <c r="H23" s="42">
        <f>(2.65*J17-1.692*K17)/F17</f>
        <v>7.7601189468475523E-2</v>
      </c>
      <c r="I23" s="42">
        <f>(3*J17+2.25*K17)/F17</f>
        <v>0.2</v>
      </c>
      <c r="J23" s="41">
        <f>77.42*P17/(Q17+0.658*R17)</f>
        <v>150.07686614931379</v>
      </c>
      <c r="K23" s="43">
        <f>P17/F17</f>
        <v>1.8697487812090248E-2</v>
      </c>
      <c r="L23" s="41">
        <f>S19/E19</f>
        <v>33.15789473684211</v>
      </c>
      <c r="M23" s="27"/>
      <c r="N23" s="27"/>
      <c r="O23" s="27"/>
      <c r="P23" s="27"/>
      <c r="Q23" s="27"/>
      <c r="R23" s="27"/>
      <c r="S23" s="26"/>
      <c r="U23" s="28"/>
      <c r="V23" s="3"/>
      <c r="W23" s="18"/>
    </row>
    <row r="24" spans="2:23" x14ac:dyDescent="0.2">
      <c r="B24" s="59" t="s">
        <v>1</v>
      </c>
      <c r="C24" s="92">
        <v>1800000</v>
      </c>
      <c r="D24" s="6"/>
      <c r="E24" s="88">
        <v>3.2</v>
      </c>
      <c r="F24" s="88">
        <v>98</v>
      </c>
      <c r="G24" s="6"/>
      <c r="H24" s="90">
        <v>7.0000000000000007E-2</v>
      </c>
      <c r="I24" s="90">
        <v>0.18</v>
      </c>
      <c r="J24" s="6"/>
      <c r="K24" s="6"/>
      <c r="L24" s="6"/>
      <c r="M24" s="6"/>
      <c r="N24" s="6"/>
      <c r="O24" s="6"/>
      <c r="P24" s="6"/>
      <c r="Q24" s="6"/>
      <c r="R24" s="6"/>
      <c r="S24" s="21"/>
      <c r="U24" s="28"/>
      <c r="V24" s="3"/>
      <c r="W24" s="18"/>
    </row>
    <row r="25" spans="2:23" x14ac:dyDescent="0.2">
      <c r="B25" s="60" t="s">
        <v>2</v>
      </c>
      <c r="C25" s="93">
        <v>1800000</v>
      </c>
      <c r="D25" s="22"/>
      <c r="E25" s="89">
        <v>3.2</v>
      </c>
      <c r="F25" s="89">
        <v>98</v>
      </c>
      <c r="G25" s="22"/>
      <c r="H25" s="91">
        <v>0.08</v>
      </c>
      <c r="I25" s="91">
        <v>0.2</v>
      </c>
      <c r="J25" s="22"/>
      <c r="K25" s="22"/>
      <c r="L25" s="22"/>
      <c r="M25" s="22"/>
      <c r="N25" s="22"/>
      <c r="O25" s="22"/>
      <c r="P25" s="22"/>
      <c r="Q25" s="22"/>
      <c r="R25" s="22"/>
      <c r="S25" s="23"/>
      <c r="U25" s="28"/>
      <c r="V25" s="3"/>
      <c r="W25" s="18"/>
    </row>
    <row r="26" spans="2:23" x14ac:dyDescent="0.2">
      <c r="U26" s="28"/>
      <c r="V26" s="3"/>
      <c r="W26" s="18"/>
    </row>
    <row r="27" spans="2:23" x14ac:dyDescent="0.2">
      <c r="U27" s="28"/>
      <c r="V27" s="3"/>
      <c r="W27" s="18"/>
    </row>
    <row r="28" spans="2:23" x14ac:dyDescent="0.2">
      <c r="U28" s="28"/>
      <c r="V28" s="3"/>
      <c r="W28" s="18"/>
    </row>
    <row r="29" spans="2:23" x14ac:dyDescent="0.2">
      <c r="U29" s="28"/>
      <c r="V29" s="3"/>
      <c r="W29" s="18"/>
    </row>
    <row r="30" spans="2:23" x14ac:dyDescent="0.2">
      <c r="U30" s="28"/>
      <c r="V30" s="3"/>
      <c r="W30" s="18"/>
    </row>
    <row r="31" spans="2:23" x14ac:dyDescent="0.2">
      <c r="U31" s="28"/>
      <c r="V31" s="3"/>
      <c r="W31" s="18"/>
    </row>
    <row r="32" spans="2:23" x14ac:dyDescent="0.2">
      <c r="U32" s="28"/>
      <c r="V32" s="3"/>
      <c r="W32" s="18"/>
    </row>
    <row r="33" spans="2:23" x14ac:dyDescent="0.2">
      <c r="B33" s="7"/>
      <c r="U33" s="28"/>
      <c r="V33" s="3"/>
      <c r="W33" s="18"/>
    </row>
    <row r="34" spans="2:23" x14ac:dyDescent="0.2">
      <c r="U34" s="28"/>
      <c r="V34" s="3"/>
      <c r="W34" s="18"/>
    </row>
    <row r="35" spans="2:23" x14ac:dyDescent="0.2">
      <c r="U35" s="28"/>
      <c r="V35" s="3"/>
      <c r="W35" s="18"/>
    </row>
    <row r="36" spans="2:23" x14ac:dyDescent="0.2">
      <c r="U36" s="28"/>
      <c r="V36" s="3"/>
      <c r="W36" s="18"/>
    </row>
    <row r="37" spans="2:23" x14ac:dyDescent="0.2">
      <c r="U37" s="28"/>
      <c r="V37" s="3"/>
      <c r="W37" s="18"/>
    </row>
    <row r="38" spans="2:23" x14ac:dyDescent="0.2">
      <c r="U38" s="28"/>
      <c r="V38" s="3"/>
      <c r="W38" s="18"/>
    </row>
    <row r="39" spans="2:23" x14ac:dyDescent="0.2">
      <c r="U39" s="28"/>
      <c r="V39" s="3"/>
      <c r="W39" s="18"/>
    </row>
    <row r="40" spans="2:23" x14ac:dyDescent="0.2">
      <c r="U40" s="28"/>
      <c r="V40" s="3"/>
      <c r="W40" s="18"/>
    </row>
    <row r="41" spans="2:23" x14ac:dyDescent="0.2">
      <c r="U41" s="28"/>
      <c r="V41" s="3"/>
      <c r="W41" s="18"/>
    </row>
    <row r="42" spans="2:23" x14ac:dyDescent="0.2">
      <c r="U42" s="28"/>
      <c r="V42" s="3"/>
      <c r="W42" s="18"/>
    </row>
    <row r="43" spans="2:23" x14ac:dyDescent="0.2">
      <c r="U43" s="28"/>
      <c r="V43" s="3"/>
      <c r="W43" s="18"/>
    </row>
    <row r="44" spans="2:23" x14ac:dyDescent="0.2">
      <c r="U44" s="28"/>
      <c r="V44" s="3"/>
      <c r="W44" s="18"/>
    </row>
    <row r="45" spans="2:23" x14ac:dyDescent="0.2">
      <c r="D45" s="8"/>
      <c r="U45" s="28"/>
      <c r="V45" s="3"/>
      <c r="W45" s="18"/>
    </row>
    <row r="46" spans="2:23" x14ac:dyDescent="0.2">
      <c r="D46" s="8"/>
      <c r="U46" s="28"/>
      <c r="V46" s="3"/>
      <c r="W46" s="18"/>
    </row>
    <row r="47" spans="2:23" x14ac:dyDescent="0.2">
      <c r="U47" s="28"/>
      <c r="V47" s="3"/>
      <c r="W47" s="18"/>
    </row>
    <row r="48" spans="2:23" x14ac:dyDescent="0.2">
      <c r="U48" s="28"/>
      <c r="V48" s="3"/>
      <c r="W48" s="18"/>
    </row>
    <row r="49" spans="21:23" x14ac:dyDescent="0.2">
      <c r="U49" s="28"/>
      <c r="V49" s="3"/>
      <c r="W49" s="18"/>
    </row>
    <row r="50" spans="21:23" x14ac:dyDescent="0.2">
      <c r="U50" s="28"/>
      <c r="V50" s="3"/>
      <c r="W50" s="18"/>
    </row>
    <row r="51" spans="21:23" x14ac:dyDescent="0.2">
      <c r="U51" s="28"/>
      <c r="V51" s="3"/>
      <c r="W51" s="18"/>
    </row>
    <row r="52" spans="21:23" x14ac:dyDescent="0.2">
      <c r="U52" s="28"/>
      <c r="V52" s="3"/>
      <c r="W52" s="18"/>
    </row>
    <row r="53" spans="21:23" x14ac:dyDescent="0.2">
      <c r="U53" s="28"/>
      <c r="V53" s="3"/>
      <c r="W53" s="18"/>
    </row>
    <row r="54" spans="21:23" x14ac:dyDescent="0.2">
      <c r="U54" s="28"/>
      <c r="V54" s="3"/>
      <c r="W54" s="18"/>
    </row>
    <row r="55" spans="21:23" x14ac:dyDescent="0.2">
      <c r="U55" s="29"/>
      <c r="V55" s="9"/>
      <c r="W55" s="20"/>
    </row>
  </sheetData>
  <mergeCells count="4">
    <mergeCell ref="U2:W2"/>
    <mergeCell ref="B17:D17"/>
    <mergeCell ref="B18:D18"/>
    <mergeCell ref="B19:D19"/>
  </mergeCells>
  <phoneticPr fontId="2" type="noConversion"/>
  <conditionalFormatting sqref="U4:U55">
    <cfRule type="expression" dxfId="0" priority="1" stopIfTrue="1">
      <formula>$V4+0&gt;$W4+0.000001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07" r:id="rId4" name="solveStatusBox">
          <controlPr defaultSize="0" autoLine="0" r:id="rId5">
            <anchor moveWithCells="1">
              <from>
                <xdr:col>1</xdr:col>
                <xdr:colOff>47625</xdr:colOff>
                <xdr:row>30</xdr:row>
                <xdr:rowOff>9525</xdr:rowOff>
              </from>
              <to>
                <xdr:col>16</xdr:col>
                <xdr:colOff>361950</xdr:colOff>
                <xdr:row>31</xdr:row>
                <xdr:rowOff>104775</xdr:rowOff>
              </to>
            </anchor>
          </controlPr>
        </control>
      </mc:Choice>
      <mc:Fallback>
        <control shapeId="1107" r:id="rId4" name="solveStatusBox"/>
      </mc:Fallback>
    </mc:AlternateContent>
    <mc:AlternateContent xmlns:mc="http://schemas.openxmlformats.org/markup-compatibility/2006">
      <mc:Choice Requires="x14">
        <control shapeId="1106" r:id="rId6" name="CommandButton1">
          <controlPr defaultSize="0" autoLine="0" r:id="rId7">
            <anchor moveWithCells="1">
              <from>
                <xdr:col>1</xdr:col>
                <xdr:colOff>28575</xdr:colOff>
                <xdr:row>26</xdr:row>
                <xdr:rowOff>9525</xdr:rowOff>
              </from>
              <to>
                <xdr:col>4</xdr:col>
                <xdr:colOff>133350</xdr:colOff>
                <xdr:row>29</xdr:row>
                <xdr:rowOff>19050</xdr:rowOff>
              </to>
            </anchor>
          </controlPr>
        </control>
      </mc:Choice>
      <mc:Fallback>
        <control shapeId="1106" r:id="rId6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A142680D-3A1F-4E4F-BEFD-225F19D3599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54A7F1CD-F3AD-4B89-9720-5A552C4533B1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example</vt:lpstr>
      <vt:lpstr>constraints</vt:lpstr>
      <vt:lpstr>constraintsMax</vt:lpstr>
      <vt:lpstr>constraintsMin</vt:lpstr>
      <vt:lpstr>constraintsNames</vt:lpstr>
      <vt:lpstr>flatList</vt:lpstr>
      <vt:lpstr>flatListQ</vt:lpstr>
      <vt:lpstr>flatListQMax</vt:lpstr>
      <vt:lpstr>products</vt:lpstr>
      <vt:lpstr>quantities</vt:lpstr>
      <vt:lpstr>quantitiesMax</vt:lpstr>
      <vt:lpstr>quantitiesMin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2022-11-15T21:30:56Z</dcterms:created>
  <dcterms:modified xsi:type="dcterms:W3CDTF">2022-11-15T21:32:23Z</dcterms:modified>
</cp:coreProperties>
</file>